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ustit831-my.sharepoint.com/personal/yusufs_justit_co_uk/Documents/Desktop/Bootcamp Folder/Workshops/Week 1 Excel &amp; Tableau &amp; Assignment/1- Excel/PivotTables/"/>
    </mc:Choice>
  </mc:AlternateContent>
  <xr:revisionPtr revIDLastSave="0" documentId="8_{C6AA689B-B313-4453-8432-93F24AA04D80}" xr6:coauthVersionLast="47" xr6:coauthVersionMax="47" xr10:uidLastSave="{00000000-0000-0000-0000-000000000000}"/>
  <bookViews>
    <workbookView xWindow="-28920" yWindow="-1530" windowWidth="29040" windowHeight="16440" firstSheet="2" activeTab="2" xr2:uid="{00000000-000D-0000-FFFF-FFFF00000000}"/>
  </bookViews>
  <sheets>
    <sheet name="Bike Sales" sheetId="1" r:id="rId1"/>
    <sheet name="Sheet1" sheetId="2" r:id="rId2"/>
    <sheet name="Sheet2" sheetId="3" r:id="rId3"/>
  </sheets>
  <definedNames>
    <definedName name="_xlnm._FilterDatabase" localSheetId="0" hidden="1">'Bike Sales'!$A$1:$S$89</definedName>
  </definedNames>
  <calcPr calcId="191028"/>
  <pivotCaches>
    <pivotCache cacheId="217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<sst xmlns="http://schemas.openxmlformats.org/spreadsheetml/2006/main" count="850" uniqueCount="162">
  <si>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</si>
  <si>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</si>
  <si>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</si>
  <si>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</si>
  <si>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</si>
  <si>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</si>
  <si>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</si>
  <si>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</si>
  <si>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</si>
  <si>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</si>
  <si>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</si>
  <si>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</si>
  <si>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</si>
  <si>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</si>
  <si>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</si>
  <si>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</si>
  <si>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</si>
  <si>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</si>
  <si>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</si>
  <si>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</si>
  <si>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</si>
  <si>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</si>
  <si>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</si>
  <si>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</si>
  <si>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</si>
  <si>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</si>
  <si>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</si>
  <si>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</si>
  <si>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</si>
  <si>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</si>
  <si>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</si>
  <si>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</si>
  <si>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</si>
  <si>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</si>
  <si>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</si>
  <si>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</si>
  <si>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</si>
  <si>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</si>
  <si>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</si>
  <si>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</si>
  <si>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</si>
  <si>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</si>
  <si>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</si>
  <si>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</si>
  <si>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</si>
  <si>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</si>
  <si>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</si>
  <si>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</si>
  <si>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</si>
  <si>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</si>
  <si>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</si>
  <si>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</si>
  <si>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</si>
  <si>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</si>
  <si>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</si>
  <si>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</si>
  <si>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</si>
  <si>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</si>
  <si>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</si>
  <si>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</si>
  <si>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</si>
  <si>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</si>
  <si>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</si>
  <si>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</si>
  <si>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</si>
  <si>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</si>
  <si>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</si>
  <si>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</si>
  <si>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</si>
  <si>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</si>
  <si>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</si>
  <si>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</si>
  <si>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</si>
  <si>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</si>
  <si>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</si>
  <si>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</si>
  <si>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</si>
  <si>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</si>
  <si>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</si>
  <si>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</si>
  <si>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</si>
  <si>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</si>
  <si>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</si>
  <si>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</si>
  <si>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</si>
  <si>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</si>
  <si>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</si>
  <si>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</si>
  <si>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</si>
  <si>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</si>
  <si>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</si>
  <si>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</si>
  <si>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</si>
  <si>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</si>
  <si>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</si>
  <si>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</si>
  <si>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</si>
  <si>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</si>
  <si>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</si>
  <si>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</si>
  <si>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</si>
  <si>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</si>
  <si>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</si>
  <si>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</si>
  <si>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</si>
  <si>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</si>
  <si>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</si>
  <si>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</si>
  <si>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</si>
  <si>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</si>
  <si>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</si>
  <si>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</si>
  <si>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</si>
  <si>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</si>
  <si>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</si>
  <si>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</si>
  <si>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</si>
  <si>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</si>
  <si>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</si>
  <si>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</si>
  <si>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</si>
  <si>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</si>
  <si>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</si>
  <si>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</si>
  <si>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</si>
  <si>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</si>
  <si>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</si>
  <si>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</si>
  <si>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</si>
  <si>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</si>
  <si>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</si>
  <si>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</si>
  <si>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</si>
  <si>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</si>
  <si>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</si>
  <si>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</si>
  <si>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</si>
  <si>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</si>
  <si>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</si>
  <si>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</si>
  <si>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</si>
  <si>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</si>
  <si>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</si>
  <si>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</si>
  <si>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</si>
  <si>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</si>
  <si>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</si>
  <si>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</si>
  <si>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</si>
  <si>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</si>
  <si>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</si>
  <si>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</si>
  <si>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</si>
  <si>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</si>
  <si>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</si>
  <si>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</si>
  <si>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Sum of Order_Quantity</t>
  </si>
  <si>
    <t>Grand Total</t>
  </si>
  <si>
    <t xml:space="preserve">Sum of  Profit </t>
  </si>
  <si>
    <t>Adults (35-64) Total</t>
  </si>
  <si>
    <t>Young Adults (25-34) Total</t>
  </si>
  <si>
    <t>Youth (&lt;25)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</si>
</sst>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0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6" fillId="33" borderId="0" xfId="0" applyFont="1" applyFill="1"/>
    <xf numFmtId="0" fontId="16" fillId="34" borderId="0" xfId="0" applyFont="1" applyFill="1"/>
    <xf numFmtId="164" fontId="16" fillId="33" borderId="0" xfId="0" applyNumberFormat="1" applyFont="1" applyFill="1"/>
    <xf numFmtId="0" fontId="0" fillId="0" borderId="0" xfId="0" pivotButton="1"/>
    <xf numFmtId="0" fontId="16" fillId="0" borderId="0" xfId="0" applyFont="1" applyAlignment="1">
      <alignment horizontal="center"/>
    </xf>
    <xf numFmtId="0" fontId="17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ill>
        <patternFill patternType="solid">
          <fgColor indexed="64"/>
          <bgColor rgb="FF7030A0"/>
        </patternFill>
      </fill>
    </dxf>
    <dxf>
      <fill>
        <patternFill patternType="solid">
          <fgColor indexed="64"/>
          <bgColor rgb="FF7030A0"/>
        </patternFill>
      </fill>
    </dxf>
    <dxf>
      <fill>
        <patternFill patternType="solid">
          <fgColor indexed="64"/>
          <bgColor rgb="FF7030A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alignment horizontal="center"/>
    </dxf>
    <dxf>
      <alignment horizontal="center"/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4" formatCode="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Marvy.xlsx]Sheet1!PivotTable1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305496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30549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Sheet1!$C$1:$C$2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Sheet1!$A$3:$B$6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Sheet1!$C$3:$C$6</c:f>
              <c:numCache>
                <c:formatCode>General</c:formatCode>
                <c:ptCount val="3"/>
                <c:pt idx="0">
                  <c:v>11</c:v>
                </c:pt>
                <c:pt idx="1">
                  <c:v>20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2-4ECD-B40C-52B6ED4069C6}"/>
            </c:ext>
          </c:extLst>
        </c:ser>
        <c:ser>
          <c:idx val="1"/>
          <c:order val="1"/>
          <c:tx>
            <c:strRef>
              <c:f>Sheet1!$D$1:$D$2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Sheet1!$A$3:$B$6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Sheet1!$D$3:$D$6</c:f>
              <c:numCache>
                <c:formatCode>General</c:formatCode>
                <c:ptCount val="3"/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E2-4ECD-B40C-52B6ED4069C6}"/>
            </c:ext>
          </c:extLst>
        </c:ser>
        <c:ser>
          <c:idx val="2"/>
          <c:order val="2"/>
          <c:tx>
            <c:strRef>
              <c:f>Sheet1!$E$1:$E$2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Sheet1!$A$3:$B$6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Sheet1!$E$3:$E$6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E2-4ECD-B40C-52B6ED4069C6}"/>
            </c:ext>
          </c:extLst>
        </c:ser>
        <c:ser>
          <c:idx val="3"/>
          <c:order val="3"/>
          <c:tx>
            <c:strRef>
              <c:f>Sheet1!$F$1:$F$2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Sheet1!$A$3:$B$6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Sheet1!$F$3:$F$6</c:f>
              <c:numCache>
                <c:formatCode>General</c:formatCode>
                <c:ptCount val="3"/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E2-4ECD-B40C-52B6ED4069C6}"/>
            </c:ext>
          </c:extLst>
        </c:ser>
        <c:ser>
          <c:idx val="4"/>
          <c:order val="4"/>
          <c:tx>
            <c:strRef>
              <c:f>Sheet1!$G$1:$G$2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strRef>
              <c:f>Sheet1!$A$3:$B$6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Sheet1!$G$3:$G$6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E2-4ECD-B40C-52B6ED4069C6}"/>
            </c:ext>
          </c:extLst>
        </c:ser>
        <c:ser>
          <c:idx val="5"/>
          <c:order val="5"/>
          <c:tx>
            <c:strRef>
              <c:f>Sheet1!$H$1:$H$2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strRef>
              <c:f>Sheet1!$A$3:$B$6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Sheet1!$H$3:$H$6</c:f>
              <c:numCache>
                <c:formatCode>General</c:formatCode>
                <c:ptCount val="3"/>
                <c:pt idx="1">
                  <c:v>16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BE2-4ECD-B40C-52B6ED406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5702408"/>
        <c:axId val="1625704456"/>
      </c:barChart>
      <c:catAx>
        <c:axId val="1625702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704456"/>
        <c:crosses val="autoZero"/>
        <c:auto val="1"/>
        <c:lblAlgn val="ctr"/>
        <c:lblOffset val="100"/>
        <c:noMultiLvlLbl val="0"/>
      </c:catAx>
      <c:valAx>
        <c:axId val="1625704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702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Marvy.xlsx]Sheet2!PivotTable1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Profitable Markets by Country and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Sheet2!$C$1:$C$2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Sheet2!$A$3:$B$12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Sheet2!$C$3:$C$12</c:f>
              <c:numCache>
                <c:formatCode>"$"#,##0.00_);[Red]\("$"#,##0.00\)</c:formatCode>
                <c:ptCount val="6"/>
                <c:pt idx="0">
                  <c:v>13276</c:v>
                </c:pt>
                <c:pt idx="1">
                  <c:v>15656</c:v>
                </c:pt>
                <c:pt idx="2">
                  <c:v>16204</c:v>
                </c:pt>
                <c:pt idx="3">
                  <c:v>2435</c:v>
                </c:pt>
                <c:pt idx="4">
                  <c:v>2265</c:v>
                </c:pt>
                <c:pt idx="5">
                  <c:v>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0-44F5-9119-C7E3F1E8E1B7}"/>
            </c:ext>
          </c:extLst>
        </c:ser>
        <c:ser>
          <c:idx val="1"/>
          <c:order val="1"/>
          <c:tx>
            <c:strRef>
              <c:f>Sheet2!$D$1:$D$2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multiLvlStrRef>
              <c:f>Sheet2!$A$3:$B$12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Sheet2!$D$3:$D$12</c:f>
              <c:numCache>
                <c:formatCode>"$"#,##0.00_);[Red]\("$"#,##0.00\)</c:formatCode>
                <c:ptCount val="6"/>
                <c:pt idx="2">
                  <c:v>6302</c:v>
                </c:pt>
                <c:pt idx="3">
                  <c:v>2821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C0-44F5-9119-C7E3F1E8E1B7}"/>
            </c:ext>
          </c:extLst>
        </c:ser>
        <c:ser>
          <c:idx val="2"/>
          <c:order val="2"/>
          <c:tx>
            <c:strRef>
              <c:f>Sheet2!$E$1:$E$2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multiLvlStrRef>
              <c:f>Sheet2!$A$3:$B$12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Sheet2!$E$3:$E$12</c:f>
              <c:numCache>
                <c:formatCode>"$"#,##0.00_);[Red]\("$"#,##0.00\)</c:formatCode>
                <c:ptCount val="6"/>
                <c:pt idx="2">
                  <c:v>1054</c:v>
                </c:pt>
                <c:pt idx="3">
                  <c:v>9420</c:v>
                </c:pt>
                <c:pt idx="4">
                  <c:v>6291</c:v>
                </c:pt>
                <c:pt idx="5">
                  <c:v>4216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C0-44F5-9119-C7E3F1E8E1B7}"/>
            </c:ext>
          </c:extLst>
        </c:ser>
        <c:ser>
          <c:idx val="3"/>
          <c:order val="3"/>
          <c:tx>
            <c:strRef>
              <c:f>Sheet2!$F$1:$F$2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multiLvlStrRef>
              <c:f>Sheet2!$A$3:$B$12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Sheet2!$F$3:$F$12</c:f>
              <c:numCache>
                <c:formatCode>"$"#,##0.00_);[Red]\("$"#,##0.00\)</c:formatCode>
                <c:ptCount val="6"/>
                <c:pt idx="0">
                  <c:v>8410</c:v>
                </c:pt>
                <c:pt idx="1">
                  <c:v>5226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BC0-44F5-9119-C7E3F1E8E1B7}"/>
            </c:ext>
          </c:extLst>
        </c:ser>
        <c:ser>
          <c:idx val="4"/>
          <c:order val="4"/>
          <c:tx>
            <c:strRef>
              <c:f>Sheet2!$G$1:$G$2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multiLvlStrRef>
              <c:f>Sheet2!$A$3:$B$12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Sheet2!$G$3:$G$12</c:f>
              <c:numCache>
                <c:formatCode>"$"#,##0.00_);[Red]\("$"#,##0.00\)</c:formatCode>
                <c:ptCount val="6"/>
                <c:pt idx="0">
                  <c:v>1043</c:v>
                </c:pt>
                <c:pt idx="1">
                  <c:v>3151</c:v>
                </c:pt>
                <c:pt idx="2">
                  <c:v>1047</c:v>
                </c:pt>
                <c:pt idx="3">
                  <c:v>1043</c:v>
                </c:pt>
                <c:pt idx="4">
                  <c:v>1043</c:v>
                </c:pt>
                <c:pt idx="5">
                  <c:v>1745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BC0-44F5-9119-C7E3F1E8E1B7}"/>
            </c:ext>
          </c:extLst>
        </c:ser>
        <c:ser>
          <c:idx val="5"/>
          <c:order val="5"/>
          <c:tx>
            <c:strRef>
              <c:f>Sheet2!$H$1:$H$2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multiLvlStrRef>
              <c:f>Sheet2!$A$3:$B$12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Sheet2!$H$3:$H$12</c:f>
              <c:numCache>
                <c:formatCode>"$"#,##0.00_);[Red]\("$"#,##0.00\)</c:formatCode>
                <c:ptCount val="6"/>
                <c:pt idx="0">
                  <c:v>29656</c:v>
                </c:pt>
                <c:pt idx="1">
                  <c:v>17078</c:v>
                </c:pt>
                <c:pt idx="2">
                  <c:v>10952</c:v>
                </c:pt>
                <c:pt idx="3">
                  <c:v>2684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BC0-44F5-9119-C7E3F1E8E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9117576"/>
        <c:axId val="579119624"/>
      </c:barChart>
      <c:catAx>
        <c:axId val="579117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119624"/>
        <c:crosses val="autoZero"/>
        <c:auto val="1"/>
        <c:lblAlgn val="ctr"/>
        <c:lblOffset val="100"/>
        <c:noMultiLvlLbl val="0"/>
      </c:catAx>
      <c:valAx>
        <c:axId val="579119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117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914400</xdr:colOff>
      <xdr:row>8</xdr:row>
      <xdr:rowOff>161925</xdr:rowOff>
    </xdr:from>
    <xdr:to>
      <xdr:col>7</xdr:col>
      <xdr:colOff>304800</xdr:colOff>
      <xdr:row>25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A24ED7-5397-11C6-E1FE-9AC5ADC5E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12</xdr:row>
      <xdr:rowOff>180975</xdr:rowOff>
    </xdr:from>
    <xdr:to>
      <xdr:col>8</xdr:col>
      <xdr:colOff>819150</xdr:colOff>
      <xdr:row>35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8EA79F-8618-E0E0-1C52-651542A6DC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7.863089236111" createdVersion="8" refreshedVersion="8" minRefreshableVersion="3" recordCount="88" xr:uid="{A1415C2B-EBF1-427C-B8E2-429A5ABF742E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0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0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3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4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3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5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5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3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3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5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5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5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5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3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4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5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5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4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3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4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FE0F1A-D191-4994-B31C-B098862A0291}" name="PivotTable1" cacheId="21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:I6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sd="0" x="2"/>
        <item sd="0" x="1"/>
        <item sd="0"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2">
    <field x="6"/>
    <field x="7"/>
  </rowFields>
  <rowItems count="4">
    <i>
      <x/>
    </i>
    <i>
      <x v="1"/>
    </i>
    <i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_Quantity" fld="13" baseField="0" baseItem="0"/>
  </dataFields>
  <formats count="17">
    <format dxfId="6">
      <pivotArea outline="0" fieldPosition="0">
        <references count="1">
          <reference field="4294967294" count="1" selected="0">
            <x v="0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">
      <pivotArea type="origin" dataOnly="0" labelOnly="1" outline="0" fieldPosition="0"/>
    </format>
    <format dxfId="9">
      <pivotArea field="8" type="button" dataOnly="0" labelOnly="1" outline="0" axis="axisCol" fieldPosition="0"/>
    </format>
    <format dxfId="10">
      <pivotArea type="topRight" dataOnly="0" labelOnly="1" outline="0" fieldPosition="0"/>
    </format>
    <format dxfId="11">
      <pivotArea field="6" type="button" dataOnly="0" labelOnly="1" outline="0" axis="axisRow" fieldPosition="0"/>
    </format>
    <format dxfId="12">
      <pivotArea dataOnly="0" labelOnly="1" outline="0" fieldPosition="0">
        <references count="1">
          <reference field="8" count="0"/>
        </references>
      </pivotArea>
    </format>
    <format dxfId="13">
      <pivotArea dataOnly="0" labelOnly="1" grandCol="1" outline="0" fieldPosition="0"/>
    </format>
    <format dxfId="14">
      <pivotArea type="origin" dataOnly="0" labelOnly="1" outline="0" fieldPosition="0"/>
    </format>
    <format dxfId="15">
      <pivotArea field="8" type="button" dataOnly="0" labelOnly="1" outline="0" axis="axisCol" fieldPosition="0"/>
    </format>
    <format dxfId="16">
      <pivotArea type="topRight" dataOnly="0" labelOnly="1" outline="0" fieldPosition="0"/>
    </format>
    <format dxfId="17">
      <pivotArea field="6" type="button" dataOnly="0" labelOnly="1" outline="0" axis="axisRow" fieldPosition="0"/>
    </format>
    <format dxfId="18">
      <pivotArea dataOnly="0" labelOnly="1" outline="0" fieldPosition="0">
        <references count="1">
          <reference field="8" count="0"/>
        </references>
      </pivotArea>
    </format>
    <format dxfId="19">
      <pivotArea dataOnly="0" labelOnly="1" grandCol="1" outline="0" fieldPosition="0"/>
    </format>
    <format dxfId="20">
      <pivotArea grandRow="1" outline="0" collapsedLevelsAreSubtotals="1" fieldPosition="0"/>
    </format>
    <format dxfId="21">
      <pivotArea dataOnly="0" labelOnly="1" grandRow="1" outline="0" fieldPosition="0"/>
    </format>
    <format dxfId="22">
      <pivotArea type="origin" dataOnly="0" labelOnly="1" outline="0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8FE9CE-E2D4-4BF5-BC20-ABB21DC626DE}" name="PivotTable1" cacheId="21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1:I12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8" outline="0" showAll="0"/>
    <pivotField dataField="1" compact="0" numFmtId="8" outline="0" showAll="0"/>
    <pivotField compact="0" numFmtId="8" outline="0" showAll="0"/>
    <pivotField compact="0" numFmtId="8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 Profit " fld="16" baseField="0" baseItem="0" numFmtId="8"/>
  </dataFields>
  <formats count="6">
    <format dxfId="0">
      <pivotArea type="origin" dataOnly="0" labelOnly="1" outline="0" fieldPosition="0"/>
    </format>
    <format dxfId="1">
      <pivotArea field="8" type="button" dataOnly="0" labelOnly="1" outline="0" axis="axisCol" fieldPosition="0"/>
    </format>
    <format dxfId="2">
      <pivotArea type="topRight" dataOnly="0" labelOnly="1" outline="0" fieldPosition="0"/>
    </format>
    <format dxfId="3">
      <pivotArea type="origin" dataOnly="0" labelOnly="1" outline="0" fieldPosition="0"/>
    </format>
    <format dxfId="4">
      <pivotArea field="8" type="button" dataOnly="0" labelOnly="1" outline="0" axis="axisCol" fieldPosition="0"/>
    </format>
    <format dxfId="5">
      <pivotArea type="topRight" dataOnly="0" labelOnly="1" outline="0" fieldPosition="0"/>
    </format>
  </format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sqref="A1:S89"/>
    </sheetView>
  </sheetViews>
  <sheetFormatPr defaultRowHeight="14.4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48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99AE5-A483-4D25-9D8B-89B6B21AE65F}">
  <dimension ref="A1:I35"/>
  <sheetViews>
    <sheetView workbookViewId="0">
      <selection activeCell="H9" sqref="H9"/>
    </sheetView>
  </sheetViews>
  <sheetFormatPr defaultRowHeight="15"/>
  <cols>
    <col min="1" max="1" width="22.42578125" bestFit="1" customWidth="1"/>
    <col min="2" max="2" width="20.5703125" bestFit="1" customWidth="1"/>
    <col min="3" max="3" width="11.42578125" bestFit="1" customWidth="1"/>
    <col min="4" max="4" width="7.7109375" style="9" bestFit="1" customWidth="1"/>
    <col min="5" max="5" width="7" style="9" bestFit="1" customWidth="1"/>
    <col min="6" max="6" width="9.28515625" bestFit="1" customWidth="1"/>
    <col min="7" max="7" width="15.7109375" bestFit="1" customWidth="1"/>
    <col min="8" max="8" width="13.28515625" bestFit="1" customWidth="1"/>
    <col min="9" max="9" width="11.7109375" bestFit="1" customWidth="1"/>
  </cols>
  <sheetData>
    <row r="1" spans="1:9">
      <c r="A1" s="12" t="s">
        <v>156</v>
      </c>
      <c r="B1" s="12"/>
      <c r="C1" s="10" t="s">
        <v>8</v>
      </c>
      <c r="D1" s="10"/>
      <c r="E1" s="10"/>
      <c r="F1" s="10"/>
      <c r="G1" s="10"/>
      <c r="H1" s="10"/>
      <c r="I1" s="10"/>
    </row>
    <row r="2" spans="1:9">
      <c r="A2" s="11" t="s">
        <v>6</v>
      </c>
      <c r="B2" s="13" t="s">
        <v>7</v>
      </c>
      <c r="C2" s="11" t="s">
        <v>37</v>
      </c>
      <c r="D2" s="11" t="s">
        <v>57</v>
      </c>
      <c r="E2" s="11" t="s">
        <v>86</v>
      </c>
      <c r="F2" s="11" t="s">
        <v>49</v>
      </c>
      <c r="G2" s="11" t="s">
        <v>30</v>
      </c>
      <c r="H2" s="11" t="s">
        <v>23</v>
      </c>
      <c r="I2" s="11" t="s">
        <v>157</v>
      </c>
    </row>
    <row r="3" spans="1:9">
      <c r="A3" t="s">
        <v>42</v>
      </c>
      <c r="C3" s="9">
        <v>11</v>
      </c>
      <c r="E3" s="9">
        <v>10</v>
      </c>
      <c r="F3" s="9"/>
      <c r="G3" s="9">
        <v>6</v>
      </c>
      <c r="H3" s="9"/>
      <c r="I3" s="9">
        <v>27</v>
      </c>
    </row>
    <row r="4" spans="1:9">
      <c r="A4" t="s">
        <v>36</v>
      </c>
      <c r="C4" s="9">
        <v>20</v>
      </c>
      <c r="D4" s="9">
        <v>11</v>
      </c>
      <c r="E4" s="9">
        <v>10</v>
      </c>
      <c r="F4" s="9"/>
      <c r="G4" s="9">
        <v>4</v>
      </c>
      <c r="H4" s="9">
        <v>16</v>
      </c>
      <c r="I4" s="9">
        <v>61</v>
      </c>
    </row>
    <row r="5" spans="1:9">
      <c r="A5" t="s">
        <v>21</v>
      </c>
      <c r="C5" s="9">
        <v>32</v>
      </c>
      <c r="F5" s="9">
        <v>13</v>
      </c>
      <c r="G5" s="9">
        <v>4</v>
      </c>
      <c r="H5" s="9">
        <v>50</v>
      </c>
      <c r="I5" s="9">
        <v>99</v>
      </c>
    </row>
    <row r="6" spans="1:9">
      <c r="A6" s="4" t="s">
        <v>157</v>
      </c>
      <c r="B6" s="4"/>
      <c r="C6" s="14">
        <v>63</v>
      </c>
      <c r="D6" s="14">
        <v>11</v>
      </c>
      <c r="E6" s="14">
        <v>20</v>
      </c>
      <c r="F6" s="14">
        <v>13</v>
      </c>
      <c r="G6" s="14">
        <v>14</v>
      </c>
      <c r="H6" s="14">
        <v>66</v>
      </c>
      <c r="I6" s="14">
        <v>187</v>
      </c>
    </row>
    <row r="7" spans="1:9">
      <c r="D7"/>
      <c r="E7"/>
    </row>
    <row r="8" spans="1:9">
      <c r="D8"/>
      <c r="E8"/>
    </row>
    <row r="9" spans="1:9">
      <c r="D9"/>
      <c r="E9"/>
    </row>
    <row r="10" spans="1:9">
      <c r="D10"/>
      <c r="E10"/>
    </row>
    <row r="11" spans="1:9">
      <c r="D11"/>
      <c r="E11"/>
    </row>
    <row r="12" spans="1:9">
      <c r="D12"/>
      <c r="E12"/>
    </row>
    <row r="13" spans="1:9">
      <c r="D13"/>
      <c r="E13"/>
    </row>
    <row r="14" spans="1:9">
      <c r="D14"/>
      <c r="E14"/>
    </row>
    <row r="15" spans="1:9">
      <c r="D15"/>
      <c r="E15"/>
    </row>
    <row r="16" spans="1:9">
      <c r="D16"/>
      <c r="E16"/>
    </row>
    <row r="17" spans="4:5">
      <c r="D17"/>
      <c r="E17"/>
    </row>
    <row r="18" spans="4:5">
      <c r="D18"/>
      <c r="E18"/>
    </row>
    <row r="19" spans="4:5">
      <c r="D19"/>
      <c r="E19"/>
    </row>
    <row r="20" spans="4:5">
      <c r="D20"/>
      <c r="E20"/>
    </row>
    <row r="21" spans="4:5">
      <c r="D21"/>
      <c r="E21"/>
    </row>
    <row r="22" spans="4:5">
      <c r="D22"/>
      <c r="E22"/>
    </row>
    <row r="23" spans="4:5">
      <c r="D23"/>
      <c r="E23"/>
    </row>
    <row r="24" spans="4:5">
      <c r="D24"/>
      <c r="E24"/>
    </row>
    <row r="25" spans="4:5">
      <c r="D25"/>
      <c r="E25"/>
    </row>
    <row r="26" spans="4:5">
      <c r="D26"/>
      <c r="E26"/>
    </row>
    <row r="27" spans="4:5">
      <c r="D27"/>
      <c r="E27"/>
    </row>
    <row r="28" spans="4:5">
      <c r="D28"/>
      <c r="E28"/>
    </row>
    <row r="29" spans="4:5">
      <c r="D29"/>
      <c r="E29"/>
    </row>
    <row r="30" spans="4:5">
      <c r="D30"/>
      <c r="E30"/>
    </row>
    <row r="31" spans="4:5">
      <c r="D31"/>
      <c r="E31"/>
    </row>
    <row r="32" spans="4:5">
      <c r="D32"/>
      <c r="E32"/>
    </row>
    <row r="33" spans="4:5">
      <c r="D33"/>
      <c r="E33"/>
    </row>
    <row r="34" spans="4:5">
      <c r="D34"/>
      <c r="E34"/>
    </row>
    <row r="35" spans="4:5">
      <c r="D35"/>
      <c r="E35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8B027-08E8-435C-9AEA-EBDF344D0662}">
  <dimension ref="A1:I12"/>
  <sheetViews>
    <sheetView tabSelected="1" workbookViewId="0">
      <selection activeCell="J13" sqref="J13"/>
    </sheetView>
  </sheetViews>
  <sheetFormatPr defaultRowHeight="15"/>
  <cols>
    <col min="1" max="1" width="15.42578125" bestFit="1" customWidth="1"/>
    <col min="2" max="2" width="20.85546875" bestFit="1" customWidth="1"/>
    <col min="3" max="3" width="11.42578125" bestFit="1" customWidth="1"/>
    <col min="4" max="4" width="10.28515625" bestFit="1" customWidth="1"/>
    <col min="5" max="6" width="11.42578125" bestFit="1" customWidth="1"/>
    <col min="7" max="7" width="15.7109375" bestFit="1" customWidth="1"/>
    <col min="8" max="8" width="13.28515625" bestFit="1" customWidth="1"/>
    <col min="9" max="9" width="12.5703125" bestFit="1" customWidth="1"/>
  </cols>
  <sheetData>
    <row r="1" spans="1:9">
      <c r="A1" s="15" t="s">
        <v>158</v>
      </c>
      <c r="B1" s="15"/>
      <c r="C1" s="15" t="s">
        <v>8</v>
      </c>
      <c r="D1" s="15"/>
      <c r="E1" s="15"/>
      <c r="F1" s="15"/>
      <c r="G1" s="15"/>
      <c r="H1" s="15"/>
      <c r="I1" s="15"/>
    </row>
    <row r="2" spans="1:9">
      <c r="A2" s="13" t="s">
        <v>6</v>
      </c>
      <c r="B2" s="13" t="s">
        <v>7</v>
      </c>
      <c r="C2" t="s">
        <v>37</v>
      </c>
      <c r="D2" t="s">
        <v>57</v>
      </c>
      <c r="E2" t="s">
        <v>86</v>
      </c>
      <c r="F2" t="s">
        <v>49</v>
      </c>
      <c r="G2" t="s">
        <v>30</v>
      </c>
      <c r="H2" t="s">
        <v>23</v>
      </c>
      <c r="I2" t="s">
        <v>157</v>
      </c>
    </row>
    <row r="3" spans="1:9">
      <c r="A3" t="s">
        <v>21</v>
      </c>
      <c r="B3" t="s">
        <v>22</v>
      </c>
      <c r="C3" s="2">
        <v>13276</v>
      </c>
      <c r="D3" s="2"/>
      <c r="E3" s="2"/>
      <c r="F3" s="2">
        <v>8410</v>
      </c>
      <c r="G3" s="2">
        <v>1043</v>
      </c>
      <c r="H3" s="2">
        <v>29656</v>
      </c>
      <c r="I3" s="2">
        <v>52385</v>
      </c>
    </row>
    <row r="4" spans="1:9">
      <c r="B4" t="s">
        <v>29</v>
      </c>
      <c r="C4" s="2">
        <v>15656</v>
      </c>
      <c r="D4" s="2"/>
      <c r="E4" s="2"/>
      <c r="F4" s="2">
        <v>5226</v>
      </c>
      <c r="G4" s="2">
        <v>3151</v>
      </c>
      <c r="H4" s="2">
        <v>17078</v>
      </c>
      <c r="I4" s="2">
        <v>41111</v>
      </c>
    </row>
    <row r="5" spans="1:9">
      <c r="A5" t="s">
        <v>159</v>
      </c>
      <c r="C5" s="2">
        <v>28932</v>
      </c>
      <c r="D5" s="2"/>
      <c r="E5" s="2"/>
      <c r="F5" s="2">
        <v>13636</v>
      </c>
      <c r="G5" s="2">
        <v>4194</v>
      </c>
      <c r="H5" s="2">
        <v>46734</v>
      </c>
      <c r="I5" s="2">
        <v>93496</v>
      </c>
    </row>
    <row r="6" spans="1:9">
      <c r="A6" t="s">
        <v>36</v>
      </c>
      <c r="B6" t="s">
        <v>22</v>
      </c>
      <c r="C6" s="2">
        <v>16204</v>
      </c>
      <c r="D6" s="2">
        <v>6302</v>
      </c>
      <c r="E6" s="2">
        <v>1054</v>
      </c>
      <c r="F6" s="2"/>
      <c r="G6" s="2">
        <v>1047</v>
      </c>
      <c r="H6" s="2">
        <v>10952</v>
      </c>
      <c r="I6" s="2">
        <v>35559</v>
      </c>
    </row>
    <row r="7" spans="1:9">
      <c r="B7" t="s">
        <v>29</v>
      </c>
      <c r="C7" s="2">
        <v>2435</v>
      </c>
      <c r="D7" s="2">
        <v>2821</v>
      </c>
      <c r="E7" s="2">
        <v>9420</v>
      </c>
      <c r="F7" s="2"/>
      <c r="G7" s="2">
        <v>1043</v>
      </c>
      <c r="H7" s="2">
        <v>2684</v>
      </c>
      <c r="I7" s="2">
        <v>18403</v>
      </c>
    </row>
    <row r="8" spans="1:9">
      <c r="A8" t="s">
        <v>160</v>
      </c>
      <c r="C8" s="2">
        <v>18639</v>
      </c>
      <c r="D8" s="2">
        <v>9123</v>
      </c>
      <c r="E8" s="2">
        <v>10474</v>
      </c>
      <c r="F8" s="2"/>
      <c r="G8" s="2">
        <v>2090</v>
      </c>
      <c r="H8" s="2">
        <v>13636</v>
      </c>
      <c r="I8" s="2">
        <v>53962</v>
      </c>
    </row>
    <row r="9" spans="1:9">
      <c r="A9" t="s">
        <v>42</v>
      </c>
      <c r="B9" t="s">
        <v>22</v>
      </c>
      <c r="C9" s="2">
        <v>2265</v>
      </c>
      <c r="D9" s="2"/>
      <c r="E9" s="2">
        <v>6291</v>
      </c>
      <c r="F9" s="2"/>
      <c r="G9" s="2">
        <v>1043</v>
      </c>
      <c r="H9" s="2"/>
      <c r="I9" s="2">
        <v>9599</v>
      </c>
    </row>
    <row r="10" spans="1:9">
      <c r="B10" t="s">
        <v>29</v>
      </c>
      <c r="C10" s="2">
        <v>490</v>
      </c>
      <c r="D10" s="2"/>
      <c r="E10" s="2">
        <v>4216</v>
      </c>
      <c r="F10" s="2"/>
      <c r="G10" s="2">
        <v>1745</v>
      </c>
      <c r="H10" s="2"/>
      <c r="I10" s="2">
        <v>6451</v>
      </c>
    </row>
    <row r="11" spans="1:9">
      <c r="A11" t="s">
        <v>161</v>
      </c>
      <c r="C11" s="2">
        <v>2755</v>
      </c>
      <c r="D11" s="2"/>
      <c r="E11" s="2">
        <v>10507</v>
      </c>
      <c r="F11" s="2"/>
      <c r="G11" s="2">
        <v>2788</v>
      </c>
      <c r="H11" s="2"/>
      <c r="I11" s="2">
        <v>16050</v>
      </c>
    </row>
    <row r="12" spans="1:9">
      <c r="A12" t="s">
        <v>157</v>
      </c>
      <c r="C12" s="2">
        <v>50326</v>
      </c>
      <c r="D12" s="2">
        <v>9123</v>
      </c>
      <c r="E12" s="2">
        <v>20981</v>
      </c>
      <c r="F12" s="2">
        <v>13636</v>
      </c>
      <c r="G12" s="2">
        <v>9072</v>
      </c>
      <c r="H12" s="2">
        <v>60370</v>
      </c>
      <c r="I12" s="2">
        <v>163508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55A197-E6BA-450D-B171-3C9117E06810}"/>
</file>

<file path=customXml/itemProps2.xml><?xml version="1.0" encoding="utf-8"?>
<ds:datastoreItem xmlns:ds="http://schemas.openxmlformats.org/officeDocument/2006/customXml" ds:itemID="{7BA752E0-B1BE-4886-A4DE-245DF0C4741D}"/>
</file>

<file path=customXml/itemProps3.xml><?xml version="1.0" encoding="utf-8"?>
<ds:datastoreItem xmlns:ds="http://schemas.openxmlformats.org/officeDocument/2006/customXml" ds:itemID="{89A0981A-8B6B-4170-BCF8-2DB63DFF61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2026-01-19T14:54:25Z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